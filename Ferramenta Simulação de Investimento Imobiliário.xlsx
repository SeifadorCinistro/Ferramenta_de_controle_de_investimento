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nez\OneDrive\Documentos\Santander - Excel com IA Claude\Aceleração\"/>
    </mc:Choice>
  </mc:AlternateContent>
  <bookViews>
    <workbookView xWindow="0" yWindow="0" windowWidth="23040" windowHeight="10824" tabRatio="18"/>
  </bookViews>
  <sheets>
    <sheet name="Simulador" sheetId="2" r:id="rId1"/>
    <sheet name="Plan3" sheetId="3" r:id="rId2"/>
    <sheet name="Problema e Perguntas de Negócio" sheetId="1" r:id="rId3"/>
  </sheets>
  <definedNames>
    <definedName name="aporte">Simulador!$D$21</definedName>
    <definedName name="patrimonio">Simulador!$D$24</definedName>
    <definedName name="qtd_anos">Simulador!$D$22</definedName>
    <definedName name="rendimento_carteira">Simulador!$D$16</definedName>
    <definedName name="salario">Simulador!$D$15</definedName>
    <definedName name="sugestao_de_investimento">Simulador!$D$17</definedName>
    <definedName name="taxa_mensal">Simulador!$D$23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2" l="1"/>
  <c r="C40" i="2"/>
  <c r="C41" i="2"/>
  <c r="C42" i="2"/>
  <c r="C43" i="2"/>
  <c r="C38" i="2"/>
  <c r="H5" i="3"/>
  <c r="A10" i="3"/>
  <c r="A11" i="3"/>
  <c r="A12" i="3"/>
  <c r="A13" i="3"/>
  <c r="A14" i="3"/>
  <c r="A15" i="3"/>
  <c r="A16" i="3"/>
  <c r="A17" i="3"/>
  <c r="A18" i="3"/>
  <c r="A19" i="3"/>
  <c r="A20" i="3"/>
  <c r="A21" i="3"/>
  <c r="A5" i="3"/>
  <c r="A6" i="3"/>
  <c r="A7" i="3"/>
  <c r="A8" i="3"/>
  <c r="A9" i="3"/>
  <c r="A4" i="3"/>
  <c r="C35" i="2"/>
  <c r="D24" i="2"/>
  <c r="D25" i="2" s="1"/>
  <c r="D17" i="2"/>
  <c r="C29" i="2"/>
  <c r="D29" i="2" s="1"/>
  <c r="C30" i="2"/>
  <c r="D30" i="2" s="1"/>
  <c r="C31" i="2"/>
  <c r="D31" i="2" s="1"/>
  <c r="C32" i="2"/>
  <c r="D32" i="2" s="1"/>
  <c r="C28" i="2"/>
  <c r="D28" i="2" s="1"/>
  <c r="D43" i="2" l="1"/>
  <c r="D38" i="2"/>
  <c r="D42" i="2"/>
  <c r="D41" i="2"/>
  <c r="D40" i="2"/>
  <c r="D39" i="2"/>
  <c r="D44" i="2" l="1"/>
</calcChain>
</file>

<file path=xl/sharedStrings.xml><?xml version="1.0" encoding="utf-8"?>
<sst xmlns="http://schemas.openxmlformats.org/spreadsheetml/2006/main" count="78" uniqueCount="43">
  <si>
    <t>Criar um simulador simples de investimentos</t>
  </si>
  <si>
    <t>Quanto investir por mês?</t>
  </si>
  <si>
    <t>Por quantos anos precisa investir?</t>
  </si>
  <si>
    <t>Qual a taxa de rendimento mensal?</t>
  </si>
  <si>
    <t>Qual o patrimônio acumulado terá no final?</t>
  </si>
  <si>
    <t>Qual o valor dos dividendos mensais?</t>
  </si>
  <si>
    <t>INVESTIMENTO MENSAL</t>
  </si>
  <si>
    <t>Investimento mensal</t>
  </si>
  <si>
    <t>Tempo necessário de investimento (anos)</t>
  </si>
  <si>
    <t>Taxa de rendimento mensal</t>
  </si>
  <si>
    <t>Patrimônio final acumulado</t>
  </si>
  <si>
    <t>Valor dos dividendos mensais</t>
  </si>
  <si>
    <t>Patrimônio em 2 anos</t>
  </si>
  <si>
    <t>Patrimônio em 5 anos</t>
  </si>
  <si>
    <t>Patrimônio em 10 anos</t>
  </si>
  <si>
    <t>Patrimônio em 20 anos</t>
  </si>
  <si>
    <t>Patrimônio em 30 anos</t>
  </si>
  <si>
    <t>Dividendos</t>
  </si>
  <si>
    <t>Salário</t>
  </si>
  <si>
    <t>Rendimento Carteira</t>
  </si>
  <si>
    <t>Sugestão de Investimento</t>
  </si>
  <si>
    <t>CONFIGURAÇÕES</t>
  </si>
  <si>
    <t>CENÁRIOS</t>
  </si>
  <si>
    <t>PERFIL</t>
  </si>
  <si>
    <t>AGRESSIVO</t>
  </si>
  <si>
    <t>Perfil</t>
  </si>
  <si>
    <t>CONSERVADOR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</si>
  <si>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</si>
  <si>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</si>
  <si>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</si>
  <si>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</si>
  <si>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</si>
  <si>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</si>
  <si>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</si>
  <si>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</t>
  </si>
  <si>
    <t>FOF's</t>
  </si>
  <si>
    <t>DESENVOLVIMENTO</t>
  </si>
  <si>
    <t>HOTELARIA</t>
  </si>
  <si>
    <t>TOTAL</t>
  </si>
  <si>
    <t>TIPOS DE FII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</si>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</sst>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indexed="64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theme="0" tint="-0.24994659260841701"/>
      </top>
      <bottom style="medium">
        <color indexed="64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4">
    <xf numFmtId="0" fontId="0" fillId="0" borderId="0" xfId="0"/>
    <xf numFmtId="0" fontId="0" fillId="3" borderId="0" xfId="0" applyFill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  <xf numFmtId="0" fontId="10" fillId="4" borderId="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 vertical="center"/>
    </xf>
    <xf numFmtId="166" fontId="9" fillId="0" borderId="4" xfId="1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0" fontId="9" fillId="0" borderId="6" xfId="2" applyNumberFormat="1" applyFont="1" applyBorder="1" applyAlignment="1">
      <alignment horizontal="center"/>
    </xf>
    <xf numFmtId="8" fontId="9" fillId="5" borderId="6" xfId="0" applyNumberFormat="1" applyFont="1" applyFill="1" applyBorder="1" applyAlignment="1">
      <alignment horizontal="center"/>
    </xf>
    <xf numFmtId="8" fontId="9" fillId="5" borderId="8" xfId="0" applyNumberFormat="1" applyFont="1" applyFill="1" applyBorder="1" applyAlignment="1">
      <alignment horizontal="center"/>
    </xf>
    <xf numFmtId="0" fontId="6" fillId="4" borderId="2" xfId="0" applyFont="1" applyFill="1" applyBorder="1" applyAlignment="1"/>
    <xf numFmtId="0" fontId="6" fillId="4" borderId="10" xfId="0" applyFont="1" applyFill="1" applyBorder="1" applyAlignment="1">
      <alignment horizontal="center"/>
    </xf>
    <xf numFmtId="0" fontId="11" fillId="6" borderId="2" xfId="0" applyFont="1" applyFill="1" applyBorder="1" applyAlignment="1">
      <alignment vertical="center"/>
    </xf>
    <xf numFmtId="0" fontId="11" fillId="6" borderId="10" xfId="0" applyFont="1" applyFill="1" applyBorder="1" applyAlignment="1">
      <alignment horizontal="center" vertical="center"/>
    </xf>
    <xf numFmtId="0" fontId="5" fillId="0" borderId="0" xfId="0" applyFont="1"/>
    <xf numFmtId="0" fontId="7" fillId="7" borderId="14" xfId="0" applyFont="1" applyFill="1" applyBorder="1" applyAlignment="1">
      <alignment horizontal="left" indent="4"/>
    </xf>
    <xf numFmtId="0" fontId="7" fillId="7" borderId="27" xfId="0" applyFont="1" applyFill="1" applyBorder="1" applyAlignment="1">
      <alignment horizontal="left" indent="4"/>
    </xf>
    <xf numFmtId="0" fontId="7" fillId="7" borderId="16" xfId="0" applyFont="1" applyFill="1" applyBorder="1" applyAlignment="1">
      <alignment horizontal="left" indent="4"/>
    </xf>
    <xf numFmtId="0" fontId="7" fillId="7" borderId="28" xfId="0" applyFont="1" applyFill="1" applyBorder="1" applyAlignment="1">
      <alignment horizontal="left" indent="4"/>
    </xf>
    <xf numFmtId="0" fontId="7" fillId="7" borderId="18" xfId="0" applyFont="1" applyFill="1" applyBorder="1" applyAlignment="1">
      <alignment horizontal="left" indent="4"/>
    </xf>
    <xf numFmtId="0" fontId="7" fillId="7" borderId="29" xfId="0" applyFont="1" applyFill="1" applyBorder="1" applyAlignment="1">
      <alignment horizontal="left" indent="4"/>
    </xf>
    <xf numFmtId="0" fontId="12" fillId="5" borderId="23" xfId="0" applyFont="1" applyFill="1" applyBorder="1" applyAlignment="1">
      <alignment horizontal="left" indent="4"/>
    </xf>
    <xf numFmtId="0" fontId="12" fillId="5" borderId="24" xfId="0" applyFont="1" applyFill="1" applyBorder="1" applyAlignment="1">
      <alignment horizontal="left" indent="4"/>
    </xf>
    <xf numFmtId="0" fontId="12" fillId="5" borderId="25" xfId="0" applyFont="1" applyFill="1" applyBorder="1" applyAlignment="1">
      <alignment horizontal="left" indent="4"/>
    </xf>
    <xf numFmtId="0" fontId="12" fillId="5" borderId="26" xfId="0" applyFont="1" applyFill="1" applyBorder="1" applyAlignment="1">
      <alignment horizontal="left" indent="4"/>
    </xf>
    <xf numFmtId="0" fontId="7" fillId="5" borderId="3" xfId="0" applyFont="1" applyFill="1" applyBorder="1" applyAlignment="1">
      <alignment horizontal="left" indent="4"/>
    </xf>
    <xf numFmtId="0" fontId="7" fillId="5" borderId="5" xfId="0" applyFont="1" applyFill="1" applyBorder="1" applyAlignment="1">
      <alignment horizontal="left" indent="4"/>
    </xf>
    <xf numFmtId="0" fontId="7" fillId="5" borderId="7" xfId="0" applyFont="1" applyFill="1" applyBorder="1" applyAlignment="1">
      <alignment horizontal="left" indent="4"/>
    </xf>
    <xf numFmtId="8" fontId="8" fillId="5" borderId="11" xfId="0" applyNumberFormat="1" applyFont="1" applyFill="1" applyBorder="1" applyAlignment="1">
      <alignment horizontal="center"/>
    </xf>
    <xf numFmtId="8" fontId="8" fillId="5" borderId="12" xfId="0" applyNumberFormat="1" applyFont="1" applyFill="1" applyBorder="1" applyAlignment="1">
      <alignment horizontal="center"/>
    </xf>
    <xf numFmtId="8" fontId="8" fillId="5" borderId="13" xfId="0" applyNumberFormat="1" applyFont="1" applyFill="1" applyBorder="1" applyAlignment="1">
      <alignment horizontal="center"/>
    </xf>
    <xf numFmtId="8" fontId="9" fillId="5" borderId="4" xfId="0" applyNumberFormat="1" applyFont="1" applyFill="1" applyBorder="1"/>
    <xf numFmtId="8" fontId="9" fillId="5" borderId="20" xfId="0" applyNumberFormat="1" applyFont="1" applyFill="1" applyBorder="1"/>
    <xf numFmtId="166" fontId="9" fillId="0" borderId="15" xfId="0" applyNumberFormat="1" applyFont="1" applyBorder="1" applyAlignment="1">
      <alignment horizontal="left"/>
    </xf>
    <xf numFmtId="10" fontId="9" fillId="0" borderId="17" xfId="0" applyNumberFormat="1" applyFont="1" applyBorder="1" applyAlignment="1">
      <alignment horizontal="left"/>
    </xf>
    <xf numFmtId="166" fontId="9" fillId="0" borderId="19" xfId="0" applyNumberFormat="1" applyFont="1" applyBorder="1" applyAlignment="1">
      <alignment horizontal="left"/>
    </xf>
    <xf numFmtId="0" fontId="7" fillId="7" borderId="21" xfId="0" applyFont="1" applyFill="1" applyBorder="1" applyAlignment="1">
      <alignment horizontal="left" indent="4"/>
    </xf>
    <xf numFmtId="0" fontId="7" fillId="7" borderId="22" xfId="0" applyFont="1" applyFill="1" applyBorder="1" applyAlignment="1">
      <alignment horizontal="left" indent="4"/>
    </xf>
    <xf numFmtId="0" fontId="7" fillId="7" borderId="23" xfId="0" applyFont="1" applyFill="1" applyBorder="1" applyAlignment="1">
      <alignment horizontal="left" indent="4"/>
    </xf>
    <xf numFmtId="0" fontId="7" fillId="7" borderId="24" xfId="0" applyFont="1" applyFill="1" applyBorder="1" applyAlignment="1">
      <alignment horizontal="left" indent="4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3" fillId="5" borderId="0" xfId="0" applyFont="1" applyFill="1"/>
    <xf numFmtId="0" fontId="13" fillId="0" borderId="0" xfId="0" applyFont="1" applyAlignment="1">
      <alignment horizontal="center"/>
    </xf>
    <xf numFmtId="9" fontId="0" fillId="0" borderId="0" xfId="2" applyFont="1" applyAlignment="1">
      <alignment horizontal="center"/>
    </xf>
    <xf numFmtId="9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9" xfId="0" applyBorder="1"/>
    <xf numFmtId="0" fontId="8" fillId="0" borderId="9" xfId="0" applyFont="1" applyBorder="1" applyAlignment="1">
      <alignment horizontal="center"/>
    </xf>
    <xf numFmtId="9" fontId="0" fillId="0" borderId="9" xfId="2" applyFon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2" fillId="2" borderId="0" xfId="3"/>
    <xf numFmtId="9" fontId="2" fillId="2" borderId="0" xfId="2" applyFont="1" applyFill="1"/>
    <xf numFmtId="0" fontId="8" fillId="8" borderId="0" xfId="0" applyFont="1" applyFill="1" applyAlignment="1">
      <alignment horizontal="center"/>
    </xf>
    <xf numFmtId="0" fontId="8" fillId="8" borderId="0" xfId="0" applyFont="1" applyFill="1" applyAlignment="1">
      <alignment horizontal="left" indent="4"/>
    </xf>
    <xf numFmtId="0" fontId="9" fillId="7" borderId="0" xfId="0" applyFont="1" applyFill="1" applyAlignment="1">
      <alignment horizontal="left" indent="4"/>
    </xf>
    <xf numFmtId="166" fontId="9" fillId="5" borderId="0" xfId="0" applyNumberFormat="1" applyFont="1" applyFill="1" applyAlignment="1">
      <alignment horizontal="center"/>
    </xf>
  </cellXfs>
  <cellStyles count="4">
    <cellStyle name="Moeda" xfId="1" builtinId="4"/>
    <cellStyle name="Neutra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Simulador!$C$37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Simulador!$B$38:$B$43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Simulador!$C$38:$C$43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45</xdr:row>
      <xdr:rowOff>53340</xdr:rowOff>
    </xdr:from>
    <xdr:to>
      <xdr:col>4</xdr:col>
      <xdr:colOff>7620</xdr:colOff>
      <xdr:row>60</xdr:row>
      <xdr:rowOff>53340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1211580</xdr:colOff>
      <xdr:row>0</xdr:row>
      <xdr:rowOff>0</xdr:rowOff>
    </xdr:from>
    <xdr:to>
      <xdr:col>2</xdr:col>
      <xdr:colOff>1958340</xdr:colOff>
      <xdr:row>12</xdr:row>
      <xdr:rowOff>106680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1180" y="0"/>
          <a:ext cx="4739640" cy="2080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XFD45"/>
  <sheetViews>
    <sheetView showGridLines="0" tabSelected="1" zoomScaleNormal="100" workbookViewId="0">
      <selection activeCell="B16" sqref="B16:C16"/>
    </sheetView>
  </sheetViews>
  <sheetFormatPr defaultColWidth="0" defaultRowHeight="14.4" x14ac:dyDescent="0.3"/>
  <cols>
    <col min="1" max="1" width="8.88671875" customWidth="1"/>
    <col min="2" max="2" width="58.21875" customWidth="1"/>
    <col min="3" max="3" width="38.5546875" bestFit="1" customWidth="1"/>
    <col min="4" max="4" width="19.33203125" customWidth="1"/>
    <col min="5" max="8" width="2.88671875" customWidth="1"/>
    <col min="9" max="16383" width="8.88671875" hidden="1"/>
    <col min="16384" max="16384" width="24" hidden="1" customWidth="1"/>
  </cols>
  <sheetData>
    <row r="11" spans="2:4" ht="11.4" customHeight="1" x14ac:dyDescent="0.3"/>
    <row r="12" spans="2:4" hidden="1" x14ac:dyDescent="0.3"/>
    <row r="13" spans="2:4" ht="15" thickBot="1" x14ac:dyDescent="0.35"/>
    <row r="14" spans="2:4" ht="17.399999999999999" x14ac:dyDescent="0.3">
      <c r="B14" s="8" t="s">
        <v>21</v>
      </c>
      <c r="C14" s="17"/>
      <c r="D14" s="16"/>
    </row>
    <row r="15" spans="2:4" ht="17.399999999999999" x14ac:dyDescent="0.35">
      <c r="B15" s="19" t="s">
        <v>18</v>
      </c>
      <c r="C15" s="20"/>
      <c r="D15" s="37">
        <v>5000</v>
      </c>
    </row>
    <row r="16" spans="2:4" ht="17.399999999999999" x14ac:dyDescent="0.35">
      <c r="B16" s="21" t="s">
        <v>19</v>
      </c>
      <c r="C16" s="22"/>
      <c r="D16" s="38">
        <v>0.01</v>
      </c>
    </row>
    <row r="17" spans="1:6" ht="18" thickBot="1" x14ac:dyDescent="0.4">
      <c r="B17" s="23" t="s">
        <v>20</v>
      </c>
      <c r="C17" s="24"/>
      <c r="D17" s="39">
        <f>D15*30%</f>
        <v>1500</v>
      </c>
    </row>
    <row r="18" spans="1:6" x14ac:dyDescent="0.3">
      <c r="B18" s="1"/>
      <c r="C18" s="1"/>
      <c r="D18" s="1"/>
      <c r="E18" s="1"/>
      <c r="F18" s="1"/>
    </row>
    <row r="19" spans="1:6" ht="15" thickBot="1" x14ac:dyDescent="0.35">
      <c r="B19" s="1"/>
      <c r="C19" s="1"/>
      <c r="D19" s="1"/>
      <c r="E19" s="1"/>
      <c r="F19" s="1"/>
    </row>
    <row r="20" spans="1:6" ht="25.8" x14ac:dyDescent="0.5">
      <c r="B20" s="2" t="s">
        <v>6</v>
      </c>
      <c r="C20" s="15"/>
      <c r="D20" s="14"/>
    </row>
    <row r="21" spans="1:6" ht="18" thickBot="1" x14ac:dyDescent="0.4">
      <c r="B21" s="40" t="s">
        <v>7</v>
      </c>
      <c r="C21" s="41"/>
      <c r="D21" s="9">
        <v>1260</v>
      </c>
    </row>
    <row r="22" spans="1:6" ht="18" thickBot="1" x14ac:dyDescent="0.4">
      <c r="B22" s="42" t="s">
        <v>8</v>
      </c>
      <c r="C22" s="43"/>
      <c r="D22" s="10">
        <v>10</v>
      </c>
    </row>
    <row r="23" spans="1:6" ht="18" thickBot="1" x14ac:dyDescent="0.4">
      <c r="B23" s="42" t="s">
        <v>9</v>
      </c>
      <c r="C23" s="43"/>
      <c r="D23" s="11">
        <v>1.0789999999999999E-2</v>
      </c>
    </row>
    <row r="24" spans="1:6" ht="18" thickBot="1" x14ac:dyDescent="0.4">
      <c r="B24" s="25" t="s">
        <v>10</v>
      </c>
      <c r="C24" s="26"/>
      <c r="D24" s="12">
        <f>FV(taxa_mensal,qtd_anos*12,aporte*-1)</f>
        <v>306538.10778801696</v>
      </c>
    </row>
    <row r="25" spans="1:6" ht="18" thickBot="1" x14ac:dyDescent="0.4">
      <c r="B25" s="27" t="s">
        <v>11</v>
      </c>
      <c r="C25" s="28"/>
      <c r="D25" s="13">
        <f>D24*1%</f>
        <v>3065.3810778801699</v>
      </c>
    </row>
    <row r="26" spans="1:6" ht="15" thickBot="1" x14ac:dyDescent="0.35"/>
    <row r="27" spans="1:6" ht="25.8" x14ac:dyDescent="0.5">
      <c r="B27" s="3" t="s">
        <v>22</v>
      </c>
      <c r="C27" s="7"/>
      <c r="D27" s="6" t="s">
        <v>17</v>
      </c>
    </row>
    <row r="28" spans="1:6" ht="18" thickBot="1" x14ac:dyDescent="0.4">
      <c r="A28" s="5">
        <v>2</v>
      </c>
      <c r="B28" s="29" t="s">
        <v>12</v>
      </c>
      <c r="C28" s="32">
        <f>FV($D$23,$A28*12,$D$21*-1)</f>
        <v>34306.810395032975</v>
      </c>
      <c r="D28" s="35">
        <f>C28*rendimento_carteira</f>
        <v>343.06810395032977</v>
      </c>
    </row>
    <row r="29" spans="1:6" ht="18" thickBot="1" x14ac:dyDescent="0.4">
      <c r="A29" s="5">
        <v>5</v>
      </c>
      <c r="B29" s="30" t="s">
        <v>13</v>
      </c>
      <c r="C29" s="33">
        <f>FV($D$23,$A29*12,$D$21*-1)</f>
        <v>105558.91163809443</v>
      </c>
      <c r="D29" s="35">
        <f>C29*rendimento_carteira</f>
        <v>1055.5891163809442</v>
      </c>
    </row>
    <row r="30" spans="1:6" ht="18" thickBot="1" x14ac:dyDescent="0.4">
      <c r="A30" s="5">
        <v>10</v>
      </c>
      <c r="B30" s="30" t="s">
        <v>14</v>
      </c>
      <c r="C30" s="33">
        <f>FV($D$23,$A30*12,$D$21*-1)</f>
        <v>306538.10778801696</v>
      </c>
      <c r="D30" s="35">
        <f>C30*rendimento_carteira</f>
        <v>3065.3810778801699</v>
      </c>
    </row>
    <row r="31" spans="1:6" ht="18" thickBot="1" x14ac:dyDescent="0.4">
      <c r="A31" s="5">
        <v>20</v>
      </c>
      <c r="B31" s="30" t="s">
        <v>15</v>
      </c>
      <c r="C31" s="33">
        <f>FV($D$23,$A31*12,$D$21*-1)</f>
        <v>1417749.9841223215</v>
      </c>
      <c r="D31" s="35">
        <f>C31*rendimento_carteira</f>
        <v>14177.499841223214</v>
      </c>
    </row>
    <row r="32" spans="1:6" ht="18" thickBot="1" x14ac:dyDescent="0.4">
      <c r="A32" s="5">
        <v>30</v>
      </c>
      <c r="B32" s="31" t="s">
        <v>16</v>
      </c>
      <c r="C32" s="34">
        <f>FV($D$23,$A32*12,$D$21*-1)</f>
        <v>5445933.7653059401</v>
      </c>
      <c r="D32" s="36">
        <f>C32*rendimento_carteira</f>
        <v>54459.337653059403</v>
      </c>
    </row>
    <row r="34" spans="2:4" ht="17.399999999999999" x14ac:dyDescent="0.35">
      <c r="B34" s="61" t="s">
        <v>25</v>
      </c>
      <c r="C34" s="60" t="s">
        <v>26</v>
      </c>
      <c r="D34" s="60"/>
    </row>
    <row r="35" spans="2:4" ht="17.399999999999999" x14ac:dyDescent="0.35">
      <c r="B35" s="62" t="s">
        <v>28</v>
      </c>
      <c r="C35" s="46">
        <f>aporte</f>
        <v>1260</v>
      </c>
      <c r="D35" s="46"/>
    </row>
    <row r="37" spans="2:4" ht="17.399999999999999" x14ac:dyDescent="0.35">
      <c r="B37" s="44" t="s">
        <v>29</v>
      </c>
      <c r="C37" s="44" t="s">
        <v>30</v>
      </c>
      <c r="D37" s="44" t="s">
        <v>31</v>
      </c>
    </row>
    <row r="38" spans="2:4" ht="17.399999999999999" x14ac:dyDescent="0.35">
      <c r="B38" s="45" t="s">
        <v>32</v>
      </c>
      <c r="C38" s="51">
        <f>VLOOKUP($C$34&amp;"-"&amp;B38,Plan3!A:D,4,FALSE)</f>
        <v>0.3</v>
      </c>
      <c r="D38" s="52">
        <f>C38*$C$35</f>
        <v>378</v>
      </c>
    </row>
    <row r="39" spans="2:4" ht="17.399999999999999" x14ac:dyDescent="0.35">
      <c r="B39" s="45" t="s">
        <v>33</v>
      </c>
      <c r="C39" s="51">
        <f>VLOOKUP($C$34&amp;"-"&amp;B39,Plan3!A:D,4,FALSE)</f>
        <v>0.5</v>
      </c>
      <c r="D39" s="52">
        <f t="shared" ref="D39:D43" si="0">C39*$C$35</f>
        <v>630</v>
      </c>
    </row>
    <row r="40" spans="2:4" ht="17.399999999999999" x14ac:dyDescent="0.35">
      <c r="B40" s="45" t="s">
        <v>34</v>
      </c>
      <c r="C40" s="51">
        <f>VLOOKUP($C$34&amp;"-"&amp;B40,Plan3!A:D,4,FALSE)</f>
        <v>0.1</v>
      </c>
      <c r="D40" s="52">
        <f t="shared" si="0"/>
        <v>126</v>
      </c>
    </row>
    <row r="41" spans="2:4" ht="17.399999999999999" x14ac:dyDescent="0.35">
      <c r="B41" s="45" t="s">
        <v>35</v>
      </c>
      <c r="C41" s="51">
        <f>VLOOKUP($C$34&amp;"-"&amp;B41,Plan3!A:D,4,FALSE)</f>
        <v>0.1</v>
      </c>
      <c r="D41" s="52">
        <f t="shared" si="0"/>
        <v>126</v>
      </c>
    </row>
    <row r="42" spans="2:4" ht="17.399999999999999" x14ac:dyDescent="0.35">
      <c r="B42" s="45" t="s">
        <v>36</v>
      </c>
      <c r="C42" s="51">
        <f>VLOOKUP($C$34&amp;"-"&amp;B42,Plan3!A:D,4,FALSE)</f>
        <v>0</v>
      </c>
      <c r="D42" s="52">
        <f t="shared" si="0"/>
        <v>0</v>
      </c>
    </row>
    <row r="43" spans="2:4" ht="17.399999999999999" x14ac:dyDescent="0.35">
      <c r="B43" s="45" t="s">
        <v>37</v>
      </c>
      <c r="C43" s="51">
        <f>VLOOKUP($C$34&amp;"-"&amp;B43,Plan3!A:D,4,FALSE)</f>
        <v>0</v>
      </c>
      <c r="D43" s="52">
        <f t="shared" si="0"/>
        <v>0</v>
      </c>
    </row>
    <row r="44" spans="2:4" ht="17.399999999999999" x14ac:dyDescent="0.35">
      <c r="B44" s="47" t="s">
        <v>38</v>
      </c>
      <c r="C44" s="48"/>
      <c r="D44" s="63">
        <f>SUM(D38:D43)</f>
        <v>1260</v>
      </c>
    </row>
    <row r="45" spans="2:4" ht="17.399999999999999" x14ac:dyDescent="0.35">
      <c r="B45" s="45"/>
    </row>
  </sheetData>
  <mergeCells count="13">
    <mergeCell ref="B14:C14"/>
    <mergeCell ref="B15:C15"/>
    <mergeCell ref="B16:C16"/>
    <mergeCell ref="B17:C17"/>
    <mergeCell ref="C35:D35"/>
    <mergeCell ref="C34:D34"/>
    <mergeCell ref="B20:C20"/>
    <mergeCell ref="B27:C27"/>
    <mergeCell ref="B21:C21"/>
    <mergeCell ref="B22:C22"/>
    <mergeCell ref="B23:C23"/>
    <mergeCell ref="B24:C24"/>
    <mergeCell ref="B25:C25"/>
  </mergeCells>
  <dataValidations count="1">
    <dataValidation type="list" allowBlank="1" showInputMessage="1" showErrorMessage="1" sqref="C34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workbookViewId="0">
      <selection activeCell="D14" sqref="D14"/>
    </sheetView>
  </sheetViews>
  <sheetFormatPr defaultRowHeight="14.4" x14ac:dyDescent="0.3"/>
  <cols>
    <col min="1" max="1" width="31.6640625" bestFit="1" customWidth="1"/>
    <col min="2" max="2" width="13.77734375" bestFit="1" customWidth="1"/>
    <col min="3" max="3" width="21.77734375" bestFit="1" customWidth="1"/>
    <col min="7" max="7" width="18.5546875" bestFit="1" customWidth="1"/>
  </cols>
  <sheetData>
    <row r="3" spans="1:8" x14ac:dyDescent="0.3">
      <c r="A3" t="s">
        <v>41</v>
      </c>
      <c r="B3" s="4" t="s">
        <v>23</v>
      </c>
      <c r="C3" s="4" t="s">
        <v>39</v>
      </c>
      <c r="D3" s="49" t="s">
        <v>40</v>
      </c>
    </row>
    <row r="4" spans="1:8" ht="17.399999999999999" x14ac:dyDescent="0.35">
      <c r="A4" t="str">
        <f>B4&amp;"-"&amp;C4</f>
        <v>CONSERVADOR-PAPEL</v>
      </c>
      <c r="B4" t="s">
        <v>26</v>
      </c>
      <c r="C4" s="45" t="s">
        <v>32</v>
      </c>
      <c r="D4" s="50">
        <v>0.3</v>
      </c>
      <c r="H4" t="s">
        <v>40</v>
      </c>
    </row>
    <row r="5" spans="1:8" ht="17.399999999999999" x14ac:dyDescent="0.35">
      <c r="A5" t="str">
        <f t="shared" ref="A5:A21" si="0">B5&amp;"-"&amp;C5</f>
        <v>CONSERVADOR-TIJOLO</v>
      </c>
      <c r="B5" t="s">
        <v>26</v>
      </c>
      <c r="C5" s="45" t="s">
        <v>33</v>
      </c>
      <c r="D5" s="50">
        <v>0.5</v>
      </c>
      <c r="G5" s="58" t="s">
        <v>42</v>
      </c>
      <c r="H5" s="59">
        <f>VLOOKUP(G5,$A:$D,4,FALSE)</f>
        <v>0.35</v>
      </c>
    </row>
    <row r="6" spans="1:8" ht="17.399999999999999" x14ac:dyDescent="0.35">
      <c r="A6" t="str">
        <f t="shared" si="0"/>
        <v>CONSERVADOR-HÍBRIDO</v>
      </c>
      <c r="B6" t="s">
        <v>26</v>
      </c>
      <c r="C6" s="45" t="s">
        <v>34</v>
      </c>
      <c r="D6" s="50">
        <v>0.1</v>
      </c>
    </row>
    <row r="7" spans="1:8" ht="17.399999999999999" x14ac:dyDescent="0.35">
      <c r="A7" t="str">
        <f t="shared" si="0"/>
        <v>CONSERVADOR-FOF's</v>
      </c>
      <c r="B7" t="s">
        <v>26</v>
      </c>
      <c r="C7" s="45" t="s">
        <v>35</v>
      </c>
      <c r="D7" s="50">
        <v>0.1</v>
      </c>
    </row>
    <row r="8" spans="1:8" ht="17.399999999999999" x14ac:dyDescent="0.35">
      <c r="A8" t="str">
        <f t="shared" si="0"/>
        <v>CONSERVADOR-DESENVOLVIMENTO</v>
      </c>
      <c r="B8" t="s">
        <v>26</v>
      </c>
      <c r="C8" s="45" t="s">
        <v>36</v>
      </c>
      <c r="D8" s="50">
        <v>0</v>
      </c>
    </row>
    <row r="9" spans="1:8" ht="18" thickBot="1" x14ac:dyDescent="0.4">
      <c r="A9" s="54" t="str">
        <f t="shared" si="0"/>
        <v>CONSERVADOR-HOTELARIA</v>
      </c>
      <c r="B9" s="54" t="s">
        <v>26</v>
      </c>
      <c r="C9" s="55" t="s">
        <v>37</v>
      </c>
      <c r="D9" s="56">
        <v>0</v>
      </c>
    </row>
    <row r="10" spans="1:8" ht="17.399999999999999" x14ac:dyDescent="0.35">
      <c r="A10" t="str">
        <f t="shared" si="0"/>
        <v>MODERADO-PAPEL</v>
      </c>
      <c r="B10" t="s">
        <v>27</v>
      </c>
      <c r="C10" s="45" t="s">
        <v>32</v>
      </c>
      <c r="D10" s="53">
        <v>0.32</v>
      </c>
    </row>
    <row r="11" spans="1:8" ht="17.399999999999999" x14ac:dyDescent="0.35">
      <c r="A11" t="str">
        <f t="shared" si="0"/>
        <v>MODERADO-TIJOLO</v>
      </c>
      <c r="B11" t="s">
        <v>27</v>
      </c>
      <c r="C11" s="45" t="s">
        <v>33</v>
      </c>
      <c r="D11" s="53">
        <v>0.35</v>
      </c>
    </row>
    <row r="12" spans="1:8" ht="17.399999999999999" x14ac:dyDescent="0.35">
      <c r="A12" t="str">
        <f t="shared" si="0"/>
        <v>MODERADO-HÍBRIDO</v>
      </c>
      <c r="B12" t="s">
        <v>27</v>
      </c>
      <c r="C12" s="45" t="s">
        <v>34</v>
      </c>
      <c r="D12" s="53">
        <v>0.08</v>
      </c>
    </row>
    <row r="13" spans="1:8" ht="17.399999999999999" x14ac:dyDescent="0.35">
      <c r="A13" t="str">
        <f t="shared" si="0"/>
        <v>MODERADO-FOF's</v>
      </c>
      <c r="B13" t="s">
        <v>27</v>
      </c>
      <c r="C13" s="45" t="s">
        <v>35</v>
      </c>
      <c r="D13" s="53">
        <v>0.05</v>
      </c>
    </row>
    <row r="14" spans="1:8" ht="17.399999999999999" x14ac:dyDescent="0.35">
      <c r="A14" t="str">
        <f t="shared" si="0"/>
        <v>MODERADO-DESENVOLVIMENTO</v>
      </c>
      <c r="B14" t="s">
        <v>27</v>
      </c>
      <c r="C14" s="45" t="s">
        <v>36</v>
      </c>
      <c r="D14" s="53">
        <v>0.1</v>
      </c>
    </row>
    <row r="15" spans="1:8" ht="18" thickBot="1" x14ac:dyDescent="0.4">
      <c r="A15" s="54" t="str">
        <f t="shared" si="0"/>
        <v>MODERADO-HOTELARIA</v>
      </c>
      <c r="B15" s="54" t="s">
        <v>27</v>
      </c>
      <c r="C15" s="55" t="s">
        <v>37</v>
      </c>
      <c r="D15" s="57">
        <v>0.1</v>
      </c>
    </row>
    <row r="16" spans="1:8" ht="17.399999999999999" x14ac:dyDescent="0.35">
      <c r="A16" t="str">
        <f t="shared" si="0"/>
        <v>AGRESSIVO-PAPEL</v>
      </c>
      <c r="B16" t="s">
        <v>24</v>
      </c>
      <c r="C16" s="45" t="s">
        <v>32</v>
      </c>
      <c r="D16" s="53">
        <v>0.5</v>
      </c>
    </row>
    <row r="17" spans="1:4" ht="17.399999999999999" x14ac:dyDescent="0.35">
      <c r="A17" t="str">
        <f t="shared" si="0"/>
        <v>AGRESSIVO-TIJOLO</v>
      </c>
      <c r="B17" t="s">
        <v>24</v>
      </c>
      <c r="C17" s="45" t="s">
        <v>33</v>
      </c>
      <c r="D17" s="53">
        <v>0.1</v>
      </c>
    </row>
    <row r="18" spans="1:4" ht="17.399999999999999" x14ac:dyDescent="0.35">
      <c r="A18" t="str">
        <f t="shared" si="0"/>
        <v>AGRESSIVO-HÍBRIDO</v>
      </c>
      <c r="B18" t="s">
        <v>24</v>
      </c>
      <c r="C18" s="45" t="s">
        <v>34</v>
      </c>
      <c r="D18" s="53">
        <v>0.05</v>
      </c>
    </row>
    <row r="19" spans="1:4" ht="17.399999999999999" x14ac:dyDescent="0.35">
      <c r="A19" t="str">
        <f t="shared" si="0"/>
        <v>AGRESSIVO-FOF's</v>
      </c>
      <c r="B19" t="s">
        <v>24</v>
      </c>
      <c r="C19" s="45" t="s">
        <v>35</v>
      </c>
      <c r="D19" s="53">
        <v>0.05</v>
      </c>
    </row>
    <row r="20" spans="1:4" ht="17.399999999999999" x14ac:dyDescent="0.35">
      <c r="A20" t="str">
        <f t="shared" si="0"/>
        <v>AGRESSIVO-DESENVOLVIMENTO</v>
      </c>
      <c r="B20" t="s">
        <v>24</v>
      </c>
      <c r="C20" s="45" t="s">
        <v>36</v>
      </c>
      <c r="D20" s="53">
        <v>0.2</v>
      </c>
    </row>
    <row r="21" spans="1:4" ht="17.399999999999999" x14ac:dyDescent="0.35">
      <c r="A21" t="str">
        <f t="shared" si="0"/>
        <v>AGRESSIVO-HOTELARIA</v>
      </c>
      <c r="B21" t="s">
        <v>24</v>
      </c>
      <c r="C21" s="45" t="s">
        <v>37</v>
      </c>
      <c r="D21" s="53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>
      <selection activeCell="B15" sqref="B15"/>
    </sheetView>
  </sheetViews>
  <sheetFormatPr defaultRowHeight="14.4" x14ac:dyDescent="0.3"/>
  <cols>
    <col min="2" max="2" width="64" bestFit="1" customWidth="1"/>
  </cols>
  <sheetData>
    <row r="2" spans="1:5" ht="23.4" x14ac:dyDescent="0.45">
      <c r="A2" s="18"/>
      <c r="B2" s="18" t="s">
        <v>0</v>
      </c>
      <c r="C2" s="18"/>
      <c r="D2" s="18"/>
      <c r="E2" s="18"/>
    </row>
    <row r="3" spans="1:5" ht="23.4" x14ac:dyDescent="0.45">
      <c r="A3" s="18">
        <v>1</v>
      </c>
      <c r="B3" s="18" t="s">
        <v>1</v>
      </c>
      <c r="C3" s="18"/>
      <c r="D3" s="18"/>
      <c r="E3" s="18"/>
    </row>
    <row r="4" spans="1:5" ht="23.4" x14ac:dyDescent="0.45">
      <c r="A4" s="18">
        <v>2</v>
      </c>
      <c r="B4" s="18" t="s">
        <v>2</v>
      </c>
      <c r="C4" s="18"/>
      <c r="D4" s="18"/>
      <c r="E4" s="18"/>
    </row>
    <row r="5" spans="1:5" ht="23.4" x14ac:dyDescent="0.45">
      <c r="A5" s="18">
        <v>3</v>
      </c>
      <c r="B5" s="18" t="s">
        <v>3</v>
      </c>
      <c r="C5" s="18"/>
      <c r="D5" s="18"/>
      <c r="E5" s="18"/>
    </row>
    <row r="6" spans="1:5" ht="23.4" x14ac:dyDescent="0.45">
      <c r="A6" s="18">
        <v>4</v>
      </c>
      <c r="B6" s="18" t="s">
        <v>4</v>
      </c>
      <c r="C6" s="18"/>
      <c r="D6" s="18"/>
      <c r="E6" s="18"/>
    </row>
    <row r="7" spans="1:5" ht="23.4" x14ac:dyDescent="0.45">
      <c r="A7" s="18">
        <v>5</v>
      </c>
      <c r="B7" s="18" t="s">
        <v>5</v>
      </c>
      <c r="C7" s="18"/>
      <c r="D7" s="18"/>
      <c r="E7" s="18"/>
    </row>
    <row r="8" spans="1:5" ht="23.4" x14ac:dyDescent="0.45">
      <c r="A8" s="18"/>
      <c r="B8" s="18"/>
      <c r="C8" s="18"/>
      <c r="D8" s="18"/>
      <c r="E8" s="1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7</vt:i4>
      </vt:variant>
    </vt:vector>
  </HeadingPairs>
  <TitlesOfParts>
    <vt:vector size="10" baseType="lpstr">
      <vt:lpstr>Simulador</vt:lpstr>
      <vt:lpstr>Plan3</vt:lpstr>
      <vt:lpstr>Problema e Perguntas de Negócio</vt:lpstr>
      <vt:lpstr>aporte</vt:lpstr>
      <vt:lpstr>patrimonio</vt:lpstr>
      <vt:lpstr>qtd_anos</vt:lpstr>
      <vt:lpstr>rendimento_carteira</vt:lpstr>
      <vt:lpstr>salario</vt:lpstr>
      <vt:lpstr>sugestao_de_investimento</vt:lpstr>
      <vt:lpstr>taxa_mensal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Lucas Menezes Borges</dc:creator>
  <cp:lastModifiedBy>João Lucas Menezes Borges</cp:lastModifiedBy>
  <dcterms:created xsi:type="dcterms:W3CDTF">2026-09-06T21:56:08Z</dcterms:created>
  <dcterms:modified xsi:type="dcterms:W3CDTF">2026-09-07T02:57:28Z</dcterms:modified>
</cp:coreProperties>
</file>